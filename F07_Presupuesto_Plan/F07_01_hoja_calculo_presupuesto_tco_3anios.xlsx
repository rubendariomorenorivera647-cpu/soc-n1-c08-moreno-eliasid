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supuesto TCO 3 añ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<sst xmlns="http://schemas.openxmlformats.org/spreadsheetml/2006/main" count="63" uniqueCount="46">
  <si>
    <t xml:space="preserve">Concepto</t>
  </si>
  <si>
    <t xml:space="preserve">Tipo</t>
  </si>
  <si>
    <t xml:space="preserve">Fuente del valor</t>
  </si>
  <si>
    <t xml:space="preserve">Cant.</t>
  </si>
  <si>
    <t xml:space="preserve">Valor unitario (COP)</t>
  </si>
  <si>
    <t xml:space="preserve">Total sin IVA (COP)</t>
  </si>
  <si>
    <t xml:space="preserve">IVA 19% (COP)</t>
  </si>
  <si>
    <t xml:space="preserve">Total con IVA (COP)</t>
  </si>
  <si>
    <t xml:space="preserve">Frecuencia</t>
  </si>
  <si>
    <t xml:space="preserve">Firewall Fortinet FortiGate 40F</t>
  </si>
  <si>
    <t xml:space="preserve">CAPEX</t>
  </si>
  <si>
    <t xml:space="preserve">Cotización Partner Fortinet</t>
  </si>
  <si>
    <t xml:space="preserve">Única</t>
  </si>
  <si>
    <t xml:space="preserve">Suscripción FortiGuard UTP (Año 1)</t>
  </si>
  <si>
    <t xml:space="preserve">OPEX</t>
  </si>
  <si>
    <t xml:space="preserve">Anual</t>
  </si>
  <si>
    <t xml:space="preserve">Servidor Hardware Wazuh Manager</t>
  </si>
  <si>
    <t xml:space="preserve">Servidor 32GB RAM local</t>
  </si>
  <si>
    <t xml:space="preserve">Licenciamiento Kaspersky Cloud (20 equipos)</t>
  </si>
  <si>
    <t xml:space="preserve">Distribuidor oficial Kaspersky</t>
  </si>
  <si>
    <t xml:space="preserve">Instancia Cloud GLPI + Backups</t>
  </si>
  <si>
    <t xml:space="preserve">Calculadora Cloud (DigitalOcean)</t>
  </si>
  <si>
    <t xml:space="preserve">Mensual</t>
  </si>
  <si>
    <t xml:space="preserve">Dominio y Certificado SSL Wildcard</t>
  </si>
  <si>
    <t xml:space="preserve">Registrador Namecheap</t>
  </si>
  <si>
    <t xml:space="preserve">Switch administrable 16 puertos L2+</t>
  </si>
  <si>
    <t xml:space="preserve">Cotización Tienda B2B</t>
  </si>
  <si>
    <t xml:space="preserve">Servicios de Implementación SOC N1</t>
  </si>
  <si>
    <t xml:space="preserve">40 horas técnicas consultor</t>
  </si>
  <si>
    <t xml:space="preserve">Exento</t>
  </si>
  <si>
    <t xml:space="preserve">Capacitación del personal (Phishing y USB)</t>
  </si>
  <si>
    <t xml:space="preserve">Taller de 8 horas</t>
  </si>
  <si>
    <t xml:space="preserve">Imprevistos y Contingencia (10% CAPEX)</t>
  </si>
  <si>
    <t xml:space="preserve">Fondo técnico</t>
  </si>
  <si>
    <t xml:space="preserve">N/A</t>
  </si>
  <si>
    <t xml:space="preserve">Resumen de cumplimiento frente al tope</t>
  </si>
  <si>
    <t xml:space="preserve">CAPEX Total</t>
  </si>
  <si>
    <t xml:space="preserve">OPEX Mensual</t>
  </si>
  <si>
    <t xml:space="preserve">TCO a 3 años</t>
  </si>
  <si>
    <t xml:space="preserve">Supuestos (celdas en azul = entrada editable)</t>
  </si>
  <si>
    <t xml:space="preserve">Tasa de IVA</t>
  </si>
  <si>
    <t xml:space="preserve">Contingencia (% sobre CAPEX sin contingencia, con IVA)</t>
  </si>
  <si>
    <t xml:space="preserve">Tope CAPEX (COP)</t>
  </si>
  <si>
    <t xml:space="preserve">Tope OPEX mensual (COP)</t>
  </si>
  <si>
    <t xml:space="preserve">Horizonte del TCO (años)</t>
  </si>
  <si>
    <t xml:space="preserve">Notas: valores unitarios del Caso C08 proporcionados por el usuario. El OPEX anual se mantiene constante durante los 3 años (sin ajuste por inflación ni variación de la TRM). La fila Mensual de GLPI ya está anualizada (12 meses).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</si>
</sst>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&quot;$ &quot;#,##0"/>
    <numFmt numFmtId="166" formatCode="0%"/>
    <numFmt numFmtId="167" formatCode="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9"/>
    <col collapsed="false" customWidth="true" hidden="false" outlineLevel="0" max="3" min="3" style="0" width="34"/>
    <col collapsed="false" customWidth="true" hidden="false" outlineLevel="0" max="4" min="4" style="0" width="7"/>
    <col collapsed="false" customWidth="true" hidden="false" outlineLevel="0" max="6" min="5" style="0" width="20"/>
    <col collapsed="false" customWidth="true" hidden="false" outlineLevel="0" max="7" min="7" style="0" width="17"/>
    <col collapsed="false" customWidth="true" hidden="false" outlineLevel="0" max="8" min="8" style="0" width="20"/>
    <col collapsed="false" customWidth="true" hidden="false" outlineLevel="0" max="9" min="9" style="0" width="12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9</v>
      </c>
      <c r="B2" s="3" t="s">
        <v>10</v>
      </c>
      <c r="C2" s="2" t="s">
        <v>11</v>
      </c>
      <c r="D2" s="4" t="n">
        <v>1</v>
      </c>
      <c r="E2" s="5" t="n">
        <v>2850000</v>
      </c>
      <c r="F2" s="6" t="n">
        <f aca="false">D2*E2</f>
        <v>2850000</v>
      </c>
      <c r="G2" s="6" t="n">
        <f aca="false">ROUND(F2*$H$19,0)</f>
        <v>541500</v>
      </c>
      <c r="H2" s="6" t="n">
        <f aca="false">F2+G2</f>
        <v>3391500</v>
      </c>
      <c r="I2" s="3" t="s">
        <v>12</v>
      </c>
    </row>
    <row r="3" customFormat="false" ht="15" hidden="false" customHeight="false" outlineLevel="0" collapsed="false">
      <c r="A3" s="2" t="s">
        <v>13</v>
      </c>
      <c r="B3" s="3" t="s">
        <v>14</v>
      </c>
      <c r="C3" s="2" t="s">
        <v>11</v>
      </c>
      <c r="D3" s="4" t="n">
        <v>1</v>
      </c>
      <c r="E3" s="5" t="n">
        <v>2300000</v>
      </c>
      <c r="F3" s="6" t="n">
        <f aca="false">D3*E3</f>
        <v>2300000</v>
      </c>
      <c r="G3" s="6" t="n">
        <f aca="false">ROUND(F3*$H$19,0)</f>
        <v>437000</v>
      </c>
      <c r="H3" s="6" t="n">
        <f aca="false">F3+G3</f>
        <v>2737000</v>
      </c>
      <c r="I3" s="3" t="s">
        <v>15</v>
      </c>
    </row>
    <row r="4" customFormat="false" ht="15" hidden="false" customHeight="false" outlineLevel="0" collapsed="false">
      <c r="A4" s="2" t="s">
        <v>16</v>
      </c>
      <c r="B4" s="3" t="s">
        <v>10</v>
      </c>
      <c r="C4" s="2" t="s">
        <v>17</v>
      </c>
      <c r="D4" s="4" t="n">
        <v>1</v>
      </c>
      <c r="E4" s="5" t="n">
        <v>3500000</v>
      </c>
      <c r="F4" s="6" t="n">
        <f aca="false">D4*E4</f>
        <v>3500000</v>
      </c>
      <c r="G4" s="6" t="n">
        <f aca="false">ROUND(F4*$H$19,0)</f>
        <v>665000</v>
      </c>
      <c r="H4" s="6" t="n">
        <f aca="false">F4+G4</f>
        <v>4165000</v>
      </c>
      <c r="I4" s="3" t="s">
        <v>12</v>
      </c>
    </row>
    <row r="5" customFormat="false" ht="15" hidden="false" customHeight="false" outlineLevel="0" collapsed="false">
      <c r="A5" s="2" t="s">
        <v>18</v>
      </c>
      <c r="B5" s="3" t="s">
        <v>14</v>
      </c>
      <c r="C5" s="2" t="s">
        <v>19</v>
      </c>
      <c r="D5" s="4" t="n">
        <v>20</v>
      </c>
      <c r="E5" s="5" t="n">
        <v>120000</v>
      </c>
      <c r="F5" s="6" t="n">
        <f aca="false">D5*E5</f>
        <v>2400000</v>
      </c>
      <c r="G5" s="6" t="n">
        <f aca="false">ROUND(F5*$H$19,0)</f>
        <v>456000</v>
      </c>
      <c r="H5" s="6" t="n">
        <f aca="false">F5+G5</f>
        <v>2856000</v>
      </c>
      <c r="I5" s="3" t="s">
        <v>15</v>
      </c>
    </row>
    <row r="6" customFormat="false" ht="15" hidden="false" customHeight="false" outlineLevel="0" collapsed="false">
      <c r="A6" s="2" t="s">
        <v>20</v>
      </c>
      <c r="B6" s="3" t="s">
        <v>14</v>
      </c>
      <c r="C6" s="2" t="s">
        <v>21</v>
      </c>
      <c r="D6" s="4" t="n">
        <v>12</v>
      </c>
      <c r="E6" s="5" t="n">
        <v>110000</v>
      </c>
      <c r="F6" s="6" t="n">
        <f aca="false">D6*E6</f>
        <v>1320000</v>
      </c>
      <c r="G6" s="6" t="n">
        <f aca="false">ROUND(F6*$H$19,0)</f>
        <v>250800</v>
      </c>
      <c r="H6" s="6" t="n">
        <f aca="false">F6+G6</f>
        <v>1570800</v>
      </c>
      <c r="I6" s="3" t="s">
        <v>22</v>
      </c>
    </row>
    <row r="7" customFormat="false" ht="15" hidden="false" customHeight="false" outlineLevel="0" collapsed="false">
      <c r="A7" s="2" t="s">
        <v>23</v>
      </c>
      <c r="B7" s="3" t="s">
        <v>14</v>
      </c>
      <c r="C7" s="2" t="s">
        <v>24</v>
      </c>
      <c r="D7" s="4" t="n">
        <v>1</v>
      </c>
      <c r="E7" s="5" t="n">
        <v>180000</v>
      </c>
      <c r="F7" s="6" t="n">
        <f aca="false">D7*E7</f>
        <v>180000</v>
      </c>
      <c r="G7" s="6" t="n">
        <f aca="false">ROUND(F7*$H$19,0)</f>
        <v>34200</v>
      </c>
      <c r="H7" s="6" t="n">
        <f aca="false">F7+G7</f>
        <v>214200</v>
      </c>
      <c r="I7" s="3" t="s">
        <v>15</v>
      </c>
    </row>
    <row r="8" customFormat="false" ht="15" hidden="false" customHeight="false" outlineLevel="0" collapsed="false">
      <c r="A8" s="2" t="s">
        <v>25</v>
      </c>
      <c r="B8" s="3" t="s">
        <v>10</v>
      </c>
      <c r="C8" s="2" t="s">
        <v>26</v>
      </c>
      <c r="D8" s="4" t="n">
        <v>1</v>
      </c>
      <c r="E8" s="5" t="n">
        <v>850000</v>
      </c>
      <c r="F8" s="6" t="n">
        <f aca="false">D8*E8</f>
        <v>850000</v>
      </c>
      <c r="G8" s="6" t="n">
        <f aca="false">ROUND(F8*$H$19,0)</f>
        <v>161500</v>
      </c>
      <c r="H8" s="6" t="n">
        <f aca="false">F8+G8</f>
        <v>1011500</v>
      </c>
      <c r="I8" s="3" t="s">
        <v>12</v>
      </c>
    </row>
    <row r="9" customFormat="false" ht="15" hidden="false" customHeight="false" outlineLevel="0" collapsed="false">
      <c r="A9" s="2" t="s">
        <v>27</v>
      </c>
      <c r="B9" s="3" t="s">
        <v>10</v>
      </c>
      <c r="C9" s="2" t="s">
        <v>28</v>
      </c>
      <c r="D9" s="4" t="n">
        <v>1</v>
      </c>
      <c r="E9" s="5" t="n">
        <v>4000000</v>
      </c>
      <c r="F9" s="6" t="n">
        <f aca="false">D9*E9</f>
        <v>4000000</v>
      </c>
      <c r="G9" s="7" t="s">
        <v>29</v>
      </c>
      <c r="H9" s="6" t="n">
        <f aca="false">F9</f>
        <v>4000000</v>
      </c>
      <c r="I9" s="3" t="s">
        <v>12</v>
      </c>
    </row>
    <row r="10" customFormat="false" ht="15" hidden="false" customHeight="false" outlineLevel="0" collapsed="false">
      <c r="A10" s="2" t="s">
        <v>30</v>
      </c>
      <c r="B10" s="3" t="s">
        <v>10</v>
      </c>
      <c r="C10" s="2" t="s">
        <v>31</v>
      </c>
      <c r="D10" s="4" t="n">
        <v>1</v>
      </c>
      <c r="E10" s="5" t="n">
        <v>800000</v>
      </c>
      <c r="F10" s="6" t="n">
        <f aca="false">D10*E10</f>
        <v>800000</v>
      </c>
      <c r="G10" s="7" t="s">
        <v>29</v>
      </c>
      <c r="H10" s="6" t="n">
        <f aca="false">F10</f>
        <v>800000</v>
      </c>
      <c r="I10" s="3" t="s">
        <v>12</v>
      </c>
    </row>
    <row r="11" customFormat="false" ht="15" hidden="false" customHeight="false" outlineLevel="0" collapsed="false">
      <c r="A11" s="2" t="s">
        <v>32</v>
      </c>
      <c r="B11" s="3" t="s">
        <v>10</v>
      </c>
      <c r="C11" s="2" t="s">
        <v>33</v>
      </c>
      <c r="D11" s="4" t="n">
        <v>1</v>
      </c>
      <c r="E11" s="6" t="n">
        <f aca="false">ROUND($H$20*SUMIFS(H2:H10,B2:B10,"CAPEX"),0)</f>
        <v>1336800</v>
      </c>
      <c r="F11" s="6" t="n">
        <f aca="false">D11*E11</f>
        <v>1336800</v>
      </c>
      <c r="G11" s="7" t="s">
        <v>34</v>
      </c>
      <c r="H11" s="6" t="n">
        <f aca="false">F11</f>
        <v>1336800</v>
      </c>
      <c r="I11" s="3" t="s">
        <v>12</v>
      </c>
    </row>
    <row r="13" customFormat="false" ht="15" hidden="false" customHeight="false" outlineLevel="0" collapsed="false">
      <c r="A13" s="8" t="s">
        <v>35</v>
      </c>
    </row>
    <row r="14" customFormat="false" ht="15" hidden="false" customHeight="false" outlineLevel="0" collapsed="false">
      <c r="A14" s="9" t="s">
        <v>36</v>
      </c>
      <c r="B14" s="10"/>
      <c r="C14" s="11" t="str">
        <f aca="false">IF(H14&lt;=H21,"Cumple el tope de COP 20M","EXCEDE el tope de COP 20M")</f>
        <v>Cumple el tope de COP 20M</v>
      </c>
      <c r="D14" s="11"/>
      <c r="E14" s="11"/>
      <c r="F14" s="11"/>
      <c r="G14" s="11"/>
      <c r="H14" s="12" t="n">
        <f aca="false">SUMIFS(H2:H11,B2:B11,"CAPEX")</f>
        <v>14704800</v>
      </c>
      <c r="I14" s="10"/>
    </row>
    <row r="15" customFormat="false" ht="15" hidden="false" customHeight="false" outlineLevel="0" collapsed="false">
      <c r="A15" s="9" t="s">
        <v>37</v>
      </c>
      <c r="B15" s="10"/>
      <c r="C15" s="11" t="str">
        <f aca="false">IF(H15&lt;=H22,"Cumple el tope de COP 1.5M/mes","EXCEDE el tope de COP 1.5M/mes")</f>
        <v>Cumple el tope de COP 1.5M/mes</v>
      </c>
      <c r="D15" s="11"/>
      <c r="E15" s="11"/>
      <c r="F15" s="11"/>
      <c r="G15" s="11"/>
      <c r="H15" s="12" t="n">
        <f aca="false">SUMIFS(H2:H11,B2:B11,"OPEX")/12</f>
        <v>614833.333333333</v>
      </c>
      <c r="I15" s="10"/>
    </row>
    <row r="16" customFormat="false" ht="15" hidden="false" customHeight="false" outlineLevel="0" collapsed="false">
      <c r="A16" s="9" t="s">
        <v>38</v>
      </c>
      <c r="B16" s="10"/>
      <c r="C16" s="13"/>
      <c r="D16" s="10"/>
      <c r="E16" s="10"/>
      <c r="F16" s="10"/>
      <c r="G16" s="10"/>
      <c r="H16" s="12" t="n">
        <f aca="false">H14+SUMIFS(H2:H11,B2:B11,"OPEX")*H23</f>
        <v>36838800</v>
      </c>
      <c r="I16" s="10"/>
    </row>
    <row r="18" customFormat="false" ht="15" hidden="false" customHeight="false" outlineLevel="0" collapsed="false">
      <c r="A18" s="8" t="s">
        <v>39</v>
      </c>
    </row>
    <row r="19" customFormat="false" ht="15" hidden="false" customHeight="false" outlineLevel="0" collapsed="false">
      <c r="A19" s="14" t="s">
        <v>40</v>
      </c>
      <c r="H19" s="15" t="n">
        <v>0.19</v>
      </c>
    </row>
    <row r="20" customFormat="false" ht="15" hidden="false" customHeight="false" outlineLevel="0" collapsed="false">
      <c r="A20" s="14" t="s">
        <v>41</v>
      </c>
      <c r="H20" s="15" t="n">
        <v>0.1</v>
      </c>
    </row>
    <row r="21" customFormat="false" ht="15" hidden="false" customHeight="false" outlineLevel="0" collapsed="false">
      <c r="A21" s="14" t="s">
        <v>42</v>
      </c>
      <c r="H21" s="16" t="n">
        <v>20000000</v>
      </c>
    </row>
    <row r="22" customFormat="false" ht="15" hidden="false" customHeight="false" outlineLevel="0" collapsed="false">
      <c r="A22" s="14" t="s">
        <v>43</v>
      </c>
      <c r="H22" s="16" t="n">
        <v>1500000</v>
      </c>
    </row>
    <row r="23" customFormat="false" ht="15" hidden="false" customHeight="false" outlineLevel="0" collapsed="false">
      <c r="A23" s="14" t="s">
        <v>44</v>
      </c>
      <c r="H23" s="17" t="n">
        <v>3</v>
      </c>
    </row>
    <row r="25" customFormat="false" ht="15" hidden="false" customHeight="false" outlineLevel="0" collapsed="false">
      <c r="A25" s="18" t="s">
        <v>45</v>
      </c>
    </row>
  </sheetData>
  <mergeCells count="2">
    <mergeCell ref="C14:G14"/>
    <mergeCell ref="C15:G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2026-10-20T15:10:55Z</dcterms:created>
  <dc:creator>openpyxl</dc:creator>
  <dc:description/>
  <dc:language>en-US</dc:language>
  <cp:lastModifiedBy/>
  <dcterms:modified xsi:type="dcterms:W3CDTF">2026-10-20T15:10:55Z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